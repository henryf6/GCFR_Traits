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frye/Dropbox/Intellectual_Endeavours/DimensionsDataPaper/GCFR_Traits/Data_Workflow_3_Final_Polishing/Data_dictionaries/"/>
    </mc:Choice>
  </mc:AlternateContent>
  <xr:revisionPtr revIDLastSave="0" documentId="13_ncr:1_{5D839145-508C-0545-8C12-00983A5054F2}" xr6:coauthVersionLast="47" xr6:coauthVersionMax="47" xr10:uidLastSave="{00000000-0000-0000-0000-000000000000}"/>
  <bookViews>
    <workbookView xWindow="5580" yWindow="2300" windowWidth="27640" windowHeight="16940" xr2:uid="{CDC35426-EB30-694D-8FDE-CF995A65B5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D36" i="1"/>
  <c r="D35" i="1"/>
  <c r="D34" i="1"/>
  <c r="D31" i="1"/>
  <c r="D29" i="1"/>
  <c r="D28" i="1"/>
  <c r="D27" i="1"/>
  <c r="D26" i="1"/>
  <c r="D25" i="1"/>
  <c r="D24" i="1"/>
  <c r="D23" i="1"/>
  <c r="B20" i="1" l="1"/>
  <c r="D16" i="1"/>
  <c r="D15" i="1"/>
  <c r="D14" i="1"/>
  <c r="D13" i="1"/>
  <c r="D17" i="1" s="1"/>
  <c r="D10" i="1"/>
  <c r="D8" i="1"/>
  <c r="D7" i="1"/>
  <c r="D6" i="1"/>
  <c r="G3" i="1"/>
  <c r="B19" i="1" l="1"/>
</calcChain>
</file>

<file path=xl/sharedStrings.xml><?xml version="1.0" encoding="utf-8"?>
<sst xmlns="http://schemas.openxmlformats.org/spreadsheetml/2006/main" count="42" uniqueCount="39">
  <si>
    <t>18 anhour</t>
  </si>
  <si>
    <t>8 mjolnir</t>
  </si>
  <si>
    <t>Fieldwork:</t>
  </si>
  <si>
    <t>Flight acquisitions</t>
  </si>
  <si>
    <t>Student</t>
  </si>
  <si>
    <t>hour per day in field day</t>
  </si>
  <si>
    <t>For fieldwork min.</t>
  </si>
  <si>
    <t>Lab processing (assume 200 samples)</t>
  </si>
  <si>
    <t>Milling (8 samples an hour)</t>
  </si>
  <si>
    <t>Prepack (30 samples an hours)</t>
  </si>
  <si>
    <t>Spectra (12 an hour)</t>
  </si>
  <si>
    <t>Processing total</t>
  </si>
  <si>
    <t>Chem prep (assume 20% so 40 samples)</t>
  </si>
  <si>
    <t>Rate</t>
  </si>
  <si>
    <t>Hours</t>
  </si>
  <si>
    <t>(divide by two Y/1TY2</t>
  </si>
  <si>
    <t>Elemental prep (30 an hour)</t>
  </si>
  <si>
    <t>Ball-mill prep</t>
  </si>
  <si>
    <t>Vial prep for NSC/phenolics</t>
  </si>
  <si>
    <t>Isotope prep (10 a hour)</t>
  </si>
  <si>
    <t>Total hourly:</t>
  </si>
  <si>
    <t>Per year (divide by 2)</t>
  </si>
  <si>
    <t>Chemistry costs:</t>
  </si>
  <si>
    <t>Elements (40)</t>
  </si>
  <si>
    <t>Ankom (40)</t>
  </si>
  <si>
    <t>Isotope</t>
  </si>
  <si>
    <t>Phenolics</t>
  </si>
  <si>
    <t>NSCs</t>
  </si>
  <si>
    <t>Per sample rate</t>
  </si>
  <si>
    <t>Sample number</t>
  </si>
  <si>
    <t>Total:</t>
  </si>
  <si>
    <t>Pigments</t>
  </si>
  <si>
    <t>2 year amount</t>
  </si>
  <si>
    <t>Flight costs</t>
  </si>
  <si>
    <t>Hyspex</t>
  </si>
  <si>
    <t>Mjolnir</t>
  </si>
  <si>
    <t>Daily rate</t>
  </si>
  <si>
    <t>Days</t>
  </si>
  <si>
    <t>2 year: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</si>
</sst>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0FE7-F423-B048-A69C-963E932617F5}">
  <dimension ref="A1:H37"/>
  <sheetViews>
    <sheetView tabSelected="1" workbookViewId="0">
      <selection activeCell="C20" sqref="C20"/>
    </sheetView>
  </sheetViews>
  <sheetFormatPr baseColWidth="10" defaultRowHeight="16" x14ac:dyDescent="0.2"/>
  <cols>
    <col min="1" max="1" width="47.6640625" customWidth="1"/>
  </cols>
  <sheetData>
    <row r="1" spans="1:8" x14ac:dyDescent="0.2">
      <c r="A1" s="1" t="s">
        <v>2</v>
      </c>
    </row>
    <row r="2" spans="1:8" x14ac:dyDescent="0.2">
      <c r="A2" t="s">
        <v>0</v>
      </c>
      <c r="B2" t="s">
        <v>5</v>
      </c>
      <c r="C2" t="s">
        <v>3</v>
      </c>
      <c r="E2" t="s">
        <v>1</v>
      </c>
      <c r="F2" t="s">
        <v>4</v>
      </c>
      <c r="G2" t="s">
        <v>6</v>
      </c>
    </row>
    <row r="3" spans="1:8" x14ac:dyDescent="0.2">
      <c r="A3">
        <v>18</v>
      </c>
      <c r="B3">
        <v>8</v>
      </c>
      <c r="C3">
        <v>8</v>
      </c>
      <c r="D3">
        <v>2</v>
      </c>
      <c r="E3">
        <v>8</v>
      </c>
      <c r="F3">
        <v>2</v>
      </c>
      <c r="G3">
        <f>A3*B3*C3*D3*2</f>
        <v>4608</v>
      </c>
      <c r="H3" t="s">
        <v>15</v>
      </c>
    </row>
    <row r="5" spans="1:8" x14ac:dyDescent="0.2">
      <c r="A5" s="1" t="s">
        <v>7</v>
      </c>
      <c r="B5" t="s">
        <v>14</v>
      </c>
      <c r="C5" t="s">
        <v>13</v>
      </c>
    </row>
    <row r="6" spans="1:8" x14ac:dyDescent="0.2">
      <c r="A6" t="s">
        <v>8</v>
      </c>
      <c r="B6">
        <v>25</v>
      </c>
      <c r="C6">
        <v>18</v>
      </c>
      <c r="D6">
        <f>B6*18</f>
        <v>450</v>
      </c>
    </row>
    <row r="7" spans="1:8" x14ac:dyDescent="0.2">
      <c r="A7" t="s">
        <v>9</v>
      </c>
      <c r="B7">
        <v>6.67</v>
      </c>
      <c r="C7" s="2">
        <v>18</v>
      </c>
      <c r="D7">
        <f>B7*C7</f>
        <v>120.06</v>
      </c>
    </row>
    <row r="8" spans="1:8" x14ac:dyDescent="0.2">
      <c r="A8" t="s">
        <v>10</v>
      </c>
      <c r="B8">
        <v>16.670000000000002</v>
      </c>
      <c r="C8" s="2">
        <v>18</v>
      </c>
      <c r="D8">
        <f>B8*C8</f>
        <v>300.06000000000006</v>
      </c>
    </row>
    <row r="10" spans="1:8" x14ac:dyDescent="0.2">
      <c r="C10" t="s">
        <v>11</v>
      </c>
      <c r="D10">
        <f>SUM(D6:D8)</f>
        <v>870.12</v>
      </c>
    </row>
    <row r="12" spans="1:8" x14ac:dyDescent="0.2">
      <c r="A12" t="s">
        <v>12</v>
      </c>
      <c r="B12" t="s">
        <v>14</v>
      </c>
      <c r="C12" t="s">
        <v>13</v>
      </c>
    </row>
    <row r="13" spans="1:8" x14ac:dyDescent="0.2">
      <c r="A13" t="s">
        <v>16</v>
      </c>
      <c r="B13">
        <v>1.3</v>
      </c>
      <c r="C13">
        <v>18</v>
      </c>
      <c r="D13">
        <f>B13*C13</f>
        <v>23.400000000000002</v>
      </c>
    </row>
    <row r="14" spans="1:8" x14ac:dyDescent="0.2">
      <c r="A14" t="s">
        <v>19</v>
      </c>
      <c r="B14">
        <v>4</v>
      </c>
      <c r="C14">
        <v>18</v>
      </c>
      <c r="D14">
        <f t="shared" ref="D14:D16" si="0">B14*C14</f>
        <v>72</v>
      </c>
    </row>
    <row r="15" spans="1:8" x14ac:dyDescent="0.2">
      <c r="A15" t="s">
        <v>17</v>
      </c>
      <c r="B15">
        <v>1.3</v>
      </c>
      <c r="C15">
        <v>18</v>
      </c>
      <c r="D15">
        <f t="shared" si="0"/>
        <v>23.400000000000002</v>
      </c>
    </row>
    <row r="16" spans="1:8" x14ac:dyDescent="0.2">
      <c r="A16" t="s">
        <v>18</v>
      </c>
      <c r="B16">
        <v>1.3</v>
      </c>
      <c r="C16">
        <v>18</v>
      </c>
      <c r="D16">
        <f t="shared" si="0"/>
        <v>23.400000000000002</v>
      </c>
    </row>
    <row r="17" spans="1:4" x14ac:dyDescent="0.2">
      <c r="D17">
        <f>SUM(D13:D16)</f>
        <v>142.20000000000002</v>
      </c>
    </row>
    <row r="19" spans="1:4" x14ac:dyDescent="0.2">
      <c r="A19" t="s">
        <v>20</v>
      </c>
      <c r="B19">
        <f>SUM(G3,D10,D17)</f>
        <v>5620.32</v>
      </c>
    </row>
    <row r="20" spans="1:4" x14ac:dyDescent="0.2">
      <c r="A20" t="s">
        <v>21</v>
      </c>
      <c r="B20">
        <f>B19/2</f>
        <v>2810.16</v>
      </c>
    </row>
    <row r="22" spans="1:4" x14ac:dyDescent="0.2">
      <c r="A22" s="1" t="s">
        <v>22</v>
      </c>
      <c r="B22" t="s">
        <v>28</v>
      </c>
      <c r="C22" t="s">
        <v>29</v>
      </c>
    </row>
    <row r="23" spans="1:4" x14ac:dyDescent="0.2">
      <c r="A23" t="s">
        <v>23</v>
      </c>
      <c r="B23">
        <v>14.25</v>
      </c>
      <c r="C23">
        <v>40</v>
      </c>
      <c r="D23">
        <f>B23*C23</f>
        <v>570</v>
      </c>
    </row>
    <row r="24" spans="1:4" x14ac:dyDescent="0.2">
      <c r="A24" t="s">
        <v>24</v>
      </c>
      <c r="B24">
        <v>9.85</v>
      </c>
      <c r="C24">
        <v>40</v>
      </c>
      <c r="D24">
        <f t="shared" ref="D24:D28" si="1">B24*C24</f>
        <v>394</v>
      </c>
    </row>
    <row r="25" spans="1:4" x14ac:dyDescent="0.2">
      <c r="A25" t="s">
        <v>25</v>
      </c>
      <c r="B25">
        <v>6.98</v>
      </c>
      <c r="C25">
        <v>40</v>
      </c>
      <c r="D25">
        <f t="shared" si="1"/>
        <v>279.20000000000005</v>
      </c>
    </row>
    <row r="26" spans="1:4" x14ac:dyDescent="0.2">
      <c r="A26" t="s">
        <v>26</v>
      </c>
      <c r="B26">
        <v>9.5</v>
      </c>
      <c r="C26">
        <v>40</v>
      </c>
      <c r="D26">
        <f t="shared" si="1"/>
        <v>380</v>
      </c>
    </row>
    <row r="27" spans="1:4" x14ac:dyDescent="0.2">
      <c r="A27" t="s">
        <v>27</v>
      </c>
      <c r="B27">
        <v>15</v>
      </c>
      <c r="C27">
        <v>40</v>
      </c>
      <c r="D27">
        <f t="shared" si="1"/>
        <v>600</v>
      </c>
    </row>
    <row r="28" spans="1:4" x14ac:dyDescent="0.2">
      <c r="A28" t="s">
        <v>31</v>
      </c>
      <c r="B28">
        <v>27</v>
      </c>
      <c r="C28">
        <v>40</v>
      </c>
      <c r="D28">
        <f t="shared" si="1"/>
        <v>1080</v>
      </c>
    </row>
    <row r="29" spans="1:4" x14ac:dyDescent="0.2">
      <c r="C29" t="s">
        <v>30</v>
      </c>
      <c r="D29">
        <f>SUM(D23:D28)</f>
        <v>3303.2</v>
      </c>
    </row>
    <row r="31" spans="1:4" x14ac:dyDescent="0.2">
      <c r="C31" t="s">
        <v>32</v>
      </c>
      <c r="D31">
        <f>D29/2</f>
        <v>1651.6</v>
      </c>
    </row>
    <row r="33" spans="1:4" x14ac:dyDescent="0.2">
      <c r="A33" s="1" t="s">
        <v>33</v>
      </c>
      <c r="B33" t="s">
        <v>36</v>
      </c>
      <c r="C33" t="s">
        <v>37</v>
      </c>
    </row>
    <row r="34" spans="1:4" x14ac:dyDescent="0.2">
      <c r="A34" t="s">
        <v>34</v>
      </c>
      <c r="B34">
        <v>1750</v>
      </c>
      <c r="C34">
        <v>8</v>
      </c>
      <c r="D34">
        <f>B34*C34</f>
        <v>14000</v>
      </c>
    </row>
    <row r="35" spans="1:4" x14ac:dyDescent="0.2">
      <c r="A35" t="s">
        <v>35</v>
      </c>
      <c r="B35">
        <v>920</v>
      </c>
      <c r="C35">
        <v>8</v>
      </c>
      <c r="D35">
        <f>B35*C35</f>
        <v>7360</v>
      </c>
    </row>
    <row r="36" spans="1:4" x14ac:dyDescent="0.2">
      <c r="C36" t="s">
        <v>30</v>
      </c>
      <c r="D36">
        <f>SUM(D34:D35)</f>
        <v>21360</v>
      </c>
    </row>
    <row r="37" spans="1:4" x14ac:dyDescent="0.2">
      <c r="C37" t="s">
        <v>38</v>
      </c>
      <c r="D37">
        <f>D36/2</f>
        <v>10680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Frye</dc:creator>
  <cp:lastModifiedBy>Henry Frye</cp:lastModifiedBy>
  <dcterms:created xsi:type="dcterms:W3CDTF">2025-09-24T13:34:16Z</dcterms:created>
  <dcterms:modified xsi:type="dcterms:W3CDTF">2025-09-24T14:19:05Z</dcterms:modified>
</cp:coreProperties>
</file>